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amvijaykumarravuri/Downloads/"/>
    </mc:Choice>
  </mc:AlternateContent>
  <xr:revisionPtr revIDLastSave="0" documentId="8_{9CE0A265-6E0C-F840-977A-F4167305EB70}" xr6:coauthVersionLast="47" xr6:coauthVersionMax="47" xr10:uidLastSave="{00000000-0000-0000-0000-000000000000}"/>
  <bookViews>
    <workbookView xWindow="0" yWindow="620" windowWidth="25600" windowHeight="14540" xr2:uid="{7339DC67-7D60-6C4E-AF75-70E5F8A7B071}"/>
  </bookViews>
  <sheets>
    <sheet name="ASSIGNEMENT-1" sheetId="1" r:id="rId1"/>
    <sheet name=" ASSIGENMENT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N9" i="2"/>
  <c r="N7" i="2"/>
  <c r="J15" i="2"/>
  <c r="L5" i="2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4" i="1"/>
  <c r="M23" i="1"/>
  <c r="M2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4" i="1"/>
  <c r="M17" i="1"/>
  <c r="M14" i="1"/>
  <c r="M11" i="1"/>
  <c r="M9" i="1"/>
  <c r="M6" i="1"/>
</calcChain>
</file>

<file path=xl/sharedStrings.xml><?xml version="1.0" encoding="utf-8"?>
<sst xmlns="http://schemas.openxmlformats.org/spreadsheetml/2006/main" count="299" uniqueCount="123">
  <si>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</si>
  <si>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</si>
  <si>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</si>
  <si>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</si>
  <si>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</si>
  <si>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</si>
  <si>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</si>
  <si>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</si>
  <si>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</si>
  <si>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</si>
  <si>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</si>
  <si>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</si>
  <si>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</si>
  <si>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</si>
  <si>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</si>
  <si>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</si>
  <si>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</si>
  <si>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</si>
  <si>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</si>
  <si>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</si>
  <si>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</si>
  <si>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</si>
  <si>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</si>
  <si>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</si>
  <si>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</si>
  <si>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</si>
  <si>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</si>
  <si>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</si>
  <si>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</si>
  <si>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</si>
  <si>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</si>
  <si>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</si>
  <si>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</si>
  <si>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</si>
  <si>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</si>
  <si>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</si>
  <si>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</si>
  <si>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</si>
  <si>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</si>
  <si>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</si>
  <si>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</si>
  <si>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</si>
  <si>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</si>
  <si>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</si>
  <si>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</si>
  <si>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</si>
  <si>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</si>
  <si>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</si>
  <si>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</si>
  <si>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</si>
  <si>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</si>
  <si>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</si>
  <si>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</si>
  <si>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</si>
  <si>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</si>
  <si>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</si>
  <si>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</si>
  <si>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</si>
  <si>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</si>
  <si>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</si>
  <si>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</si>
  <si>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</si>
  <si>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</si>
  <si>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</si>
  <si>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</si>
  <si>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</si>
  <si>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</si>
  <si>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</si>
  <si>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</si>
  <si>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</si>
  <si>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</si>
  <si>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</si>
  <si>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</si>
  <si>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</si>
  <si>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</si>
  <si>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</si>
  <si>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</si>
  <si>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</si>
  <si>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</si>
  <si>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</si>
  <si>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</si>
  <si>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</si>
  <si>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</si>
  <si>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</si>
  <si>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</si>
  <si>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</si>
  <si>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</si>
  <si>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</si>
  <si>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</si>
  <si>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</si>
  <si>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</si>
  <si>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</si>
  <si>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</si>
  <si>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• What is the total price of all products in the dataset?			</t>
  </si>
  <si>
    <t>SUM</t>
  </si>
  <si>
    <t>Count</t>
  </si>
  <si>
    <t xml:space="preserve">• How many products are there in the dataset?		</t>
  </si>
  <si>
    <t>• Calculate the average price of the products.</t>
  </si>
  <si>
    <t>Average</t>
  </si>
  <si>
    <t>MIN</t>
  </si>
  <si>
    <t>• Determine the minimum price among all products.</t>
  </si>
  <si>
    <t>MAX</t>
  </si>
  <si>
    <t xml:space="preserve">• Find the maximum price among all products.		</t>
  </si>
  <si>
    <t>Price Range</t>
  </si>
  <si>
    <t>SUMIF</t>
  </si>
  <si>
    <t>• Calculate the total price for products in the 'Electronics' category using the SUMIF function.</t>
  </si>
  <si>
    <t>COUNTIF</t>
  </si>
  <si>
    <t>• Determine the count of products with a price less than $100 using the COUNTIF function.</t>
  </si>
  <si>
    <t>DAY</t>
  </si>
  <si>
    <t>COUNTRY NAME</t>
  </si>
  <si>
    <t>MONTH</t>
  </si>
  <si>
    <t>laptop</t>
  </si>
  <si>
    <t>smartphone</t>
  </si>
  <si>
    <t>headphones</t>
  </si>
  <si>
    <t xml:space="preserve">• Check for missing values in the 'Price' column. How would you handle products with missing price information?							</t>
  </si>
  <si>
    <t>• If there are products with missing categories, propose a strategy to impute or deal with these missing values effectively.</t>
  </si>
  <si>
    <t>• Identify any inconsistent text formats present in the "Product Name" column.</t>
  </si>
  <si>
    <t xml:space="preserve">Updated </t>
  </si>
  <si>
    <t xml:space="preserve">Removing Duplicates- cntrl+A, Data, REMOVE DUPLICATES FOUND 3 CLICKED ON OK </t>
  </si>
  <si>
    <t>MANUFACTURING DATE</t>
  </si>
  <si>
    <t>COUNTRY CODE</t>
  </si>
  <si>
    <t>PRODUCT BRAND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</si>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</sst>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C09]#,##0.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B36B45-E038-0246-BFE9-9D123272CAEE}" name="Table2" displayName="Table2" ref="A3:J37" totalsRowShown="0" headerRowDxfId="15" dataDxfId="13" headerRowBorderDxfId="14" tableBorderDxfId="12" totalsRowBorderDxfId="11">
  <autoFilter ref="A3:J37" xr:uid="{F4B36B45-E038-0246-BFE9-9D123272CAEE}"/>
  <tableColumns count="10">
    <tableColumn id="1" xr3:uid="{59B5D275-27AF-1249-A1EF-E27A13C9A005}" name="Product ID" dataDxfId="10"/>
    <tableColumn id="2" xr3:uid="{36B7AC5E-C903-B54E-87E4-0400902D41E6}" name="Product Name" dataDxfId="9"/>
    <tableColumn id="3" xr3:uid="{69CAA0C1-AE86-334D-8163-37F0CC7C376D}" name="Brand Name" dataDxfId="8"/>
    <tableColumn id="4" xr3:uid="{CF91AAF2-7665-3F40-8CAA-AF68868C9C09}" name="Price ($)" dataDxfId="7"/>
    <tableColumn id="5" xr3:uid="{779D8754-7020-744A-96BE-965550045F08}" name="Quantity" dataDxfId="6"/>
    <tableColumn id="6" xr3:uid="{23035CC7-9C89-7945-85FC-6EFF4F37CEF2}" name="Category" dataDxfId="5"/>
    <tableColumn id="7" xr3:uid="{84189D2E-8EE3-FC4E-A013-C7D8DC3A60B3}" name="Price Range" dataDxfId="4">
      <calculatedColumnFormula>IF(D4&gt;=500, "High Price", "Standard price")</calculatedColumnFormula>
    </tableColumn>
    <tableColumn id="8" xr3:uid="{00E9CFF1-D77D-3B47-9BA0-3484D4FF5FA7}" name="DAY" dataDxfId="3">
      <calculatedColumnFormula>LEFT(A4,2)</calculatedColumnFormula>
    </tableColumn>
    <tableColumn id="9" xr3:uid="{6543A2F0-1DF9-6846-9FD1-F94E66952B1C}" name="COUNTRY NAME" dataDxfId="2">
      <calculatedColumnFormula>RIGHT(A4,2)</calculatedColumnFormula>
    </tableColumn>
    <tableColumn id="10" xr3:uid="{B7A000E1-4F0A-FD42-B47C-74735E044B9B}" name="MONTH" dataDxfId="1">
      <calculatedColumnFormula>MID(A4, 4, 3)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0853-7DF1-444C-B2B4-D839420A1F8B}">
  <dimension ref="A3:V37"/>
  <sheetViews>
    <sheetView tabSelected="1" topLeftCell="A2" workbookViewId="0">
      <selection activeCell="L6" sqref="L6"/>
    </sheetView>
  </sheetViews>
  <sheetFormatPr baseColWidth="10" defaultRowHeight="16" x14ac:dyDescent="0.2"/>
  <cols>
    <col min="1" max="1" width="20" customWidth="1"/>
    <col min="2" max="2" width="18.1640625" customWidth="1"/>
    <col min="3" max="3" width="16.33203125" customWidth="1"/>
    <col min="4" max="4" width="12.1640625" customWidth="1"/>
    <col min="5" max="6" width="12.6640625" customWidth="1"/>
    <col min="7" max="8" width="16.6640625" customWidth="1"/>
    <col min="9" max="9" width="25" customWidth="1"/>
    <col min="10" max="10" width="16.6640625" customWidth="1"/>
    <col min="11" max="11" width="14.83203125" customWidth="1"/>
    <col min="12" max="12" width="21.33203125" customWidth="1"/>
    <col min="13" max="13" width="15.1640625" bestFit="1" customWidth="1"/>
  </cols>
  <sheetData>
    <row r="3" spans="1:14" ht="18" x14ac:dyDescent="0.2">
      <c r="A3" s="11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103</v>
      </c>
      <c r="H3" s="12" t="s">
        <v>108</v>
      </c>
      <c r="I3" s="12" t="s">
        <v>109</v>
      </c>
      <c r="J3" s="13" t="s">
        <v>110</v>
      </c>
      <c r="K3" s="3"/>
    </row>
    <row r="4" spans="1:14" ht="18" x14ac:dyDescent="0.2">
      <c r="A4" s="9" t="s">
        <v>6</v>
      </c>
      <c r="B4" s="8" t="s">
        <v>7</v>
      </c>
      <c r="C4" s="8" t="s">
        <v>8</v>
      </c>
      <c r="D4" s="8">
        <v>1000</v>
      </c>
      <c r="E4" s="8">
        <v>30</v>
      </c>
      <c r="F4" s="8" t="s">
        <v>9</v>
      </c>
      <c r="G4" s="8" t="str">
        <f>IF(D4&gt;=500, "High Price", "Standard price")</f>
        <v>High Price</v>
      </c>
      <c r="H4" s="8" t="str">
        <f>LEFT(A4,2)</f>
        <v>28</v>
      </c>
      <c r="I4" s="8" t="str">
        <f>RIGHT(A4,2)</f>
        <v>US</v>
      </c>
      <c r="J4" s="10" t="str">
        <f>MID(A4, 4, 3)</f>
        <v>JAN</v>
      </c>
    </row>
    <row r="5" spans="1:14" ht="18" x14ac:dyDescent="0.2">
      <c r="A5" s="9" t="s">
        <v>10</v>
      </c>
      <c r="B5" s="8" t="s">
        <v>11</v>
      </c>
      <c r="C5" s="8" t="s">
        <v>12</v>
      </c>
      <c r="D5" s="8">
        <v>80</v>
      </c>
      <c r="E5" s="8">
        <v>15</v>
      </c>
      <c r="F5" s="8" t="s">
        <v>13</v>
      </c>
      <c r="G5" s="8" t="str">
        <f t="shared" ref="G5:G37" si="0">IF(D5&gt;=500, "High Price", "Standard price")</f>
        <v>Standard price</v>
      </c>
      <c r="H5" s="8" t="str">
        <f t="shared" ref="H5:H37" si="1">LEFT(A5,2)</f>
        <v>15</v>
      </c>
      <c r="I5" s="8" t="str">
        <f t="shared" ref="I5:I37" si="2">RIGHT(A5,2)</f>
        <v>US</v>
      </c>
      <c r="J5" s="10" t="str">
        <f t="shared" ref="J5:J37" si="3">MID(A5, 4, 3)</f>
        <v>FEB</v>
      </c>
      <c r="L5" s="6" t="s">
        <v>94</v>
      </c>
      <c r="M5" s="7"/>
    </row>
    <row r="6" spans="1:14" ht="52" customHeight="1" x14ac:dyDescent="0.2">
      <c r="A6" s="9" t="s">
        <v>14</v>
      </c>
      <c r="B6" s="8" t="s">
        <v>15</v>
      </c>
      <c r="C6" s="8" t="s">
        <v>16</v>
      </c>
      <c r="D6" s="8">
        <v>130</v>
      </c>
      <c r="E6" s="8">
        <v>40</v>
      </c>
      <c r="F6" s="8" t="s">
        <v>17</v>
      </c>
      <c r="G6" s="8" t="str">
        <f t="shared" si="0"/>
        <v>Standard price</v>
      </c>
      <c r="H6" s="8" t="str">
        <f t="shared" si="1"/>
        <v>03</v>
      </c>
      <c r="I6" s="8" t="str">
        <f t="shared" si="2"/>
        <v>US</v>
      </c>
      <c r="J6" s="10" t="str">
        <f t="shared" si="3"/>
        <v>MAR</v>
      </c>
      <c r="L6" s="5" t="s">
        <v>93</v>
      </c>
      <c r="M6" s="7">
        <f>SUM(D4:D37)</f>
        <v>10100</v>
      </c>
    </row>
    <row r="7" spans="1:14" ht="18" x14ac:dyDescent="0.2">
      <c r="A7" s="9" t="s">
        <v>18</v>
      </c>
      <c r="B7" s="8" t="s">
        <v>19</v>
      </c>
      <c r="C7" s="8" t="s">
        <v>20</v>
      </c>
      <c r="D7" s="8">
        <v>900</v>
      </c>
      <c r="E7" s="8">
        <v>25</v>
      </c>
      <c r="F7" s="8" t="s">
        <v>9</v>
      </c>
      <c r="G7" s="8" t="str">
        <f t="shared" si="0"/>
        <v>High Price</v>
      </c>
      <c r="H7" s="8" t="str">
        <f t="shared" si="1"/>
        <v>11</v>
      </c>
      <c r="I7" s="8" t="str">
        <f t="shared" si="2"/>
        <v>US</v>
      </c>
      <c r="J7" s="10" t="str">
        <f t="shared" si="3"/>
        <v>APR</v>
      </c>
      <c r="L7" s="7"/>
      <c r="M7" s="7"/>
    </row>
    <row r="8" spans="1:14" ht="18" x14ac:dyDescent="0.2">
      <c r="A8" s="9" t="s">
        <v>21</v>
      </c>
      <c r="B8" s="8" t="s">
        <v>22</v>
      </c>
      <c r="C8" s="8" t="s">
        <v>23</v>
      </c>
      <c r="D8" s="8">
        <v>70</v>
      </c>
      <c r="E8" s="8">
        <v>20</v>
      </c>
      <c r="F8" s="8" t="s">
        <v>24</v>
      </c>
      <c r="G8" s="8" t="str">
        <f t="shared" si="0"/>
        <v>Standard price</v>
      </c>
      <c r="H8" s="8" t="str">
        <f t="shared" si="1"/>
        <v>22</v>
      </c>
      <c r="I8" s="8" t="str">
        <f t="shared" si="2"/>
        <v>US</v>
      </c>
      <c r="J8" s="10" t="str">
        <f t="shared" si="3"/>
        <v>MAY</v>
      </c>
      <c r="L8" s="6" t="s">
        <v>95</v>
      </c>
      <c r="M8" s="7"/>
    </row>
    <row r="9" spans="1:14" ht="57" x14ac:dyDescent="0.2">
      <c r="A9" s="9" t="s">
        <v>25</v>
      </c>
      <c r="B9" s="8" t="s">
        <v>26</v>
      </c>
      <c r="C9" s="8" t="s">
        <v>27</v>
      </c>
      <c r="D9" s="8">
        <v>200</v>
      </c>
      <c r="E9" s="8">
        <v>45</v>
      </c>
      <c r="F9" s="8" t="s">
        <v>9</v>
      </c>
      <c r="G9" s="8" t="str">
        <f t="shared" si="0"/>
        <v>Standard price</v>
      </c>
      <c r="H9" s="8" t="str">
        <f t="shared" si="1"/>
        <v>07</v>
      </c>
      <c r="I9" s="8" t="str">
        <f t="shared" si="2"/>
        <v>UK</v>
      </c>
      <c r="J9" s="10" t="str">
        <f t="shared" si="3"/>
        <v>JUN</v>
      </c>
      <c r="L9" s="5" t="s">
        <v>96</v>
      </c>
      <c r="M9" s="7">
        <f>COUNTA(B4:B37)</f>
        <v>34</v>
      </c>
      <c r="N9" s="2"/>
    </row>
    <row r="10" spans="1:14" ht="18" x14ac:dyDescent="0.2">
      <c r="A10" s="9" t="s">
        <v>28</v>
      </c>
      <c r="B10" s="8" t="s">
        <v>29</v>
      </c>
      <c r="C10" s="8" t="s">
        <v>30</v>
      </c>
      <c r="D10" s="8">
        <v>30</v>
      </c>
      <c r="E10" s="8">
        <v>5</v>
      </c>
      <c r="F10" s="8" t="s">
        <v>13</v>
      </c>
      <c r="G10" s="8" t="str">
        <f t="shared" si="0"/>
        <v>Standard price</v>
      </c>
      <c r="H10" s="8" t="str">
        <f t="shared" si="1"/>
        <v>19</v>
      </c>
      <c r="I10" s="8" t="str">
        <f t="shared" si="2"/>
        <v>UK</v>
      </c>
      <c r="J10" s="10" t="str">
        <f t="shared" si="3"/>
        <v>JUL</v>
      </c>
      <c r="L10" s="6" t="s">
        <v>98</v>
      </c>
      <c r="M10" s="7"/>
    </row>
    <row r="11" spans="1:14" ht="57" x14ac:dyDescent="0.2">
      <c r="A11" s="9" t="s">
        <v>31</v>
      </c>
      <c r="B11" s="8" t="s">
        <v>32</v>
      </c>
      <c r="C11" s="8" t="s">
        <v>33</v>
      </c>
      <c r="D11" s="8">
        <v>90</v>
      </c>
      <c r="E11" s="8">
        <v>35</v>
      </c>
      <c r="F11" s="8" t="s">
        <v>17</v>
      </c>
      <c r="G11" s="8" t="str">
        <f t="shared" si="0"/>
        <v>Standard price</v>
      </c>
      <c r="H11" s="8" t="str">
        <f t="shared" si="1"/>
        <v>23</v>
      </c>
      <c r="I11" s="8" t="str">
        <f t="shared" si="2"/>
        <v>UK</v>
      </c>
      <c r="J11" s="10" t="str">
        <f t="shared" si="3"/>
        <v>AUG</v>
      </c>
      <c r="L11" s="5" t="s">
        <v>97</v>
      </c>
      <c r="M11" s="5">
        <f>AVERAGE(D4:D37)</f>
        <v>297.05882352941177</v>
      </c>
    </row>
    <row r="12" spans="1:14" ht="18" x14ac:dyDescent="0.2">
      <c r="A12" s="9" t="s">
        <v>34</v>
      </c>
      <c r="B12" s="8" t="s">
        <v>35</v>
      </c>
      <c r="C12" s="8" t="s">
        <v>36</v>
      </c>
      <c r="D12" s="8">
        <v>500</v>
      </c>
      <c r="E12" s="8">
        <v>50</v>
      </c>
      <c r="F12" s="8" t="s">
        <v>9</v>
      </c>
      <c r="G12" s="8" t="str">
        <f t="shared" si="0"/>
        <v>High Price</v>
      </c>
      <c r="H12" s="8" t="str">
        <f t="shared" si="1"/>
        <v>05</v>
      </c>
      <c r="I12" s="8" t="str">
        <f t="shared" si="2"/>
        <v>UK</v>
      </c>
      <c r="J12" s="10" t="str">
        <f t="shared" si="3"/>
        <v>SEP</v>
      </c>
      <c r="L12" s="7"/>
      <c r="M12" s="7"/>
    </row>
    <row r="13" spans="1:14" ht="18" x14ac:dyDescent="0.2">
      <c r="A13" s="9" t="s">
        <v>37</v>
      </c>
      <c r="B13" s="8" t="s">
        <v>38</v>
      </c>
      <c r="C13" s="8" t="s">
        <v>39</v>
      </c>
      <c r="D13" s="8">
        <v>130</v>
      </c>
      <c r="E13" s="8">
        <v>10</v>
      </c>
      <c r="F13" s="8" t="s">
        <v>24</v>
      </c>
      <c r="G13" s="8" t="str">
        <f t="shared" si="0"/>
        <v>Standard price</v>
      </c>
      <c r="H13" s="8" t="str">
        <f t="shared" si="1"/>
        <v>14</v>
      </c>
      <c r="I13" s="8" t="str">
        <f t="shared" si="2"/>
        <v>UK</v>
      </c>
      <c r="J13" s="10" t="str">
        <f t="shared" si="3"/>
        <v>OCT</v>
      </c>
      <c r="L13" s="6" t="s">
        <v>99</v>
      </c>
      <c r="M13" s="7"/>
    </row>
    <row r="14" spans="1:14" ht="57" x14ac:dyDescent="0.2">
      <c r="A14" s="9" t="s">
        <v>40</v>
      </c>
      <c r="B14" s="8" t="s">
        <v>7</v>
      </c>
      <c r="C14" s="8" t="s">
        <v>41</v>
      </c>
      <c r="D14" s="8">
        <v>950</v>
      </c>
      <c r="E14" s="8">
        <v>25</v>
      </c>
      <c r="F14" s="8" t="s">
        <v>9</v>
      </c>
      <c r="G14" s="8" t="str">
        <f t="shared" si="0"/>
        <v>High Price</v>
      </c>
      <c r="H14" s="8" t="str">
        <f t="shared" si="1"/>
        <v>17</v>
      </c>
      <c r="I14" s="8" t="str">
        <f t="shared" si="2"/>
        <v>IN</v>
      </c>
      <c r="J14" s="10" t="str">
        <f t="shared" si="3"/>
        <v>JUN</v>
      </c>
      <c r="L14" s="5" t="s">
        <v>100</v>
      </c>
      <c r="M14" s="5">
        <f>MIN(D4:D37)</f>
        <v>30</v>
      </c>
      <c r="N14" s="4"/>
    </row>
    <row r="15" spans="1:14" ht="18" x14ac:dyDescent="0.2">
      <c r="A15" s="9" t="s">
        <v>42</v>
      </c>
      <c r="B15" s="8" t="s">
        <v>11</v>
      </c>
      <c r="C15" s="8" t="s">
        <v>30</v>
      </c>
      <c r="D15" s="8">
        <v>90</v>
      </c>
      <c r="E15" s="8">
        <v>40</v>
      </c>
      <c r="F15" s="8" t="s">
        <v>13</v>
      </c>
      <c r="G15" s="8" t="str">
        <f t="shared" si="0"/>
        <v>Standard price</v>
      </c>
      <c r="H15" s="8" t="str">
        <f t="shared" si="1"/>
        <v>25</v>
      </c>
      <c r="I15" s="8" t="str">
        <f t="shared" si="2"/>
        <v>AU</v>
      </c>
      <c r="J15" s="10" t="str">
        <f t="shared" si="3"/>
        <v>NOV</v>
      </c>
      <c r="L15" s="7"/>
      <c r="M15" s="7"/>
    </row>
    <row r="16" spans="1:14" ht="18" x14ac:dyDescent="0.2">
      <c r="A16" s="9" t="s">
        <v>43</v>
      </c>
      <c r="B16" s="8" t="s">
        <v>15</v>
      </c>
      <c r="C16" s="8" t="s">
        <v>44</v>
      </c>
      <c r="D16" s="8">
        <v>120</v>
      </c>
      <c r="E16" s="8">
        <v>35</v>
      </c>
      <c r="F16" s="8" t="s">
        <v>17</v>
      </c>
      <c r="G16" s="8" t="str">
        <f t="shared" si="0"/>
        <v>Standard price</v>
      </c>
      <c r="H16" s="8" t="str">
        <f t="shared" si="1"/>
        <v>08</v>
      </c>
      <c r="I16" s="8" t="str">
        <f t="shared" si="2"/>
        <v>DE</v>
      </c>
      <c r="J16" s="10" t="str">
        <f t="shared" si="3"/>
        <v>DEC</v>
      </c>
      <c r="L16" s="6" t="s">
        <v>101</v>
      </c>
      <c r="M16" s="7"/>
    </row>
    <row r="17" spans="1:22" ht="57" x14ac:dyDescent="0.2">
      <c r="A17" s="9" t="s">
        <v>45</v>
      </c>
      <c r="B17" s="8" t="s">
        <v>46</v>
      </c>
      <c r="C17" s="8" t="s">
        <v>47</v>
      </c>
      <c r="D17" s="8">
        <v>150</v>
      </c>
      <c r="E17" s="8">
        <v>15</v>
      </c>
      <c r="F17" s="8" t="s">
        <v>9</v>
      </c>
      <c r="G17" s="8" t="str">
        <f t="shared" si="0"/>
        <v>Standard price</v>
      </c>
      <c r="H17" s="8" t="str">
        <f t="shared" si="1"/>
        <v>18</v>
      </c>
      <c r="I17" s="8" t="str">
        <f t="shared" si="2"/>
        <v>CA</v>
      </c>
      <c r="J17" s="10" t="str">
        <f t="shared" si="3"/>
        <v>FEB</v>
      </c>
      <c r="L17" s="5" t="s">
        <v>102</v>
      </c>
      <c r="M17" s="7">
        <f>MAX(D4:D37)</f>
        <v>1000</v>
      </c>
    </row>
    <row r="18" spans="1:22" ht="18" x14ac:dyDescent="0.2">
      <c r="A18" s="9" t="s">
        <v>48</v>
      </c>
      <c r="B18" s="8" t="s">
        <v>26</v>
      </c>
      <c r="C18" s="8" t="s">
        <v>49</v>
      </c>
      <c r="D18" s="8">
        <v>250</v>
      </c>
      <c r="E18" s="8">
        <v>20</v>
      </c>
      <c r="F18" s="8" t="s">
        <v>9</v>
      </c>
      <c r="G18" s="8" t="str">
        <f t="shared" si="0"/>
        <v>Standard price</v>
      </c>
      <c r="H18" s="8" t="str">
        <f t="shared" si="1"/>
        <v>16</v>
      </c>
      <c r="I18" s="8" t="str">
        <f t="shared" si="2"/>
        <v>ES</v>
      </c>
      <c r="J18" s="10" t="str">
        <f t="shared" si="3"/>
        <v>APR</v>
      </c>
      <c r="L18" s="7"/>
      <c r="M18" s="7"/>
    </row>
    <row r="19" spans="1:22" ht="18" x14ac:dyDescent="0.2">
      <c r="A19" s="9" t="s">
        <v>50</v>
      </c>
      <c r="B19" s="8" t="s">
        <v>51</v>
      </c>
      <c r="C19" s="8" t="s">
        <v>52</v>
      </c>
      <c r="D19" s="8">
        <v>50</v>
      </c>
      <c r="E19" s="8">
        <v>35</v>
      </c>
      <c r="F19" s="8" t="s">
        <v>53</v>
      </c>
      <c r="G19" s="8" t="str">
        <f t="shared" si="0"/>
        <v>Standard price</v>
      </c>
      <c r="H19" s="8" t="str">
        <f t="shared" si="1"/>
        <v>21</v>
      </c>
      <c r="I19" s="8" t="str">
        <f t="shared" si="2"/>
        <v>CA</v>
      </c>
      <c r="J19" s="10" t="str">
        <f t="shared" si="3"/>
        <v>AUG</v>
      </c>
      <c r="L19" s="6" t="s">
        <v>104</v>
      </c>
      <c r="M19" s="7"/>
      <c r="N19" s="1"/>
      <c r="O19" s="1"/>
      <c r="P19" s="1"/>
      <c r="Q19" s="1"/>
      <c r="R19" s="1"/>
      <c r="S19" s="1"/>
      <c r="T19" s="1"/>
      <c r="U19" s="1"/>
      <c r="V19" s="1"/>
    </row>
    <row r="20" spans="1:22" ht="95" x14ac:dyDescent="0.2">
      <c r="A20" s="9" t="s">
        <v>54</v>
      </c>
      <c r="B20" s="8" t="s">
        <v>46</v>
      </c>
      <c r="C20" s="8" t="s">
        <v>55</v>
      </c>
      <c r="D20" s="8">
        <v>160</v>
      </c>
      <c r="E20" s="8">
        <v>15</v>
      </c>
      <c r="F20" s="8" t="s">
        <v>9</v>
      </c>
      <c r="G20" s="8" t="str">
        <f t="shared" si="0"/>
        <v>Standard price</v>
      </c>
      <c r="H20" s="8" t="str">
        <f t="shared" si="1"/>
        <v>20</v>
      </c>
      <c r="I20" s="8" t="str">
        <f t="shared" si="2"/>
        <v>CN</v>
      </c>
      <c r="J20" s="10" t="str">
        <f t="shared" si="3"/>
        <v>AUG</v>
      </c>
      <c r="L20" s="5" t="s">
        <v>105</v>
      </c>
      <c r="M20" s="5">
        <f>SUMIF(F4:F37, "Electronics", D4:D37)</f>
        <v>8050</v>
      </c>
      <c r="N20" s="4"/>
      <c r="O20" s="4"/>
      <c r="P20" s="4"/>
      <c r="Q20" s="1"/>
      <c r="R20" s="1"/>
      <c r="S20" s="1"/>
      <c r="T20" s="1"/>
      <c r="U20" s="1"/>
    </row>
    <row r="21" spans="1:22" ht="18" x14ac:dyDescent="0.2">
      <c r="A21" s="9" t="s">
        <v>56</v>
      </c>
      <c r="B21" s="8" t="s">
        <v>7</v>
      </c>
      <c r="C21" s="8" t="s">
        <v>57</v>
      </c>
      <c r="D21" s="8">
        <v>980</v>
      </c>
      <c r="E21" s="8">
        <v>10</v>
      </c>
      <c r="F21" s="8" t="s">
        <v>9</v>
      </c>
      <c r="G21" s="8" t="str">
        <f t="shared" si="0"/>
        <v>High Price</v>
      </c>
      <c r="H21" s="8" t="str">
        <f t="shared" si="1"/>
        <v>27</v>
      </c>
      <c r="I21" s="8" t="str">
        <f t="shared" si="2"/>
        <v>IT</v>
      </c>
      <c r="J21" s="10" t="str">
        <f t="shared" si="3"/>
        <v>JAN</v>
      </c>
      <c r="L21" s="7"/>
      <c r="M21" s="7"/>
    </row>
    <row r="22" spans="1:22" ht="18" x14ac:dyDescent="0.2">
      <c r="A22" s="9" t="s">
        <v>58</v>
      </c>
      <c r="B22" s="8" t="s">
        <v>59</v>
      </c>
      <c r="C22" s="8" t="s">
        <v>60</v>
      </c>
      <c r="D22" s="8">
        <v>150</v>
      </c>
      <c r="E22" s="8">
        <v>15</v>
      </c>
      <c r="F22" s="8" t="s">
        <v>13</v>
      </c>
      <c r="G22" s="8" t="str">
        <f t="shared" si="0"/>
        <v>Standard price</v>
      </c>
      <c r="H22" s="8" t="str">
        <f t="shared" si="1"/>
        <v>01</v>
      </c>
      <c r="I22" s="8" t="str">
        <f t="shared" si="2"/>
        <v>UK</v>
      </c>
      <c r="J22" s="10" t="str">
        <f t="shared" si="3"/>
        <v>MAR</v>
      </c>
      <c r="L22" s="6" t="s">
        <v>106</v>
      </c>
      <c r="M22" s="7"/>
    </row>
    <row r="23" spans="1:22" ht="95" x14ac:dyDescent="0.2">
      <c r="A23" s="9" t="s">
        <v>61</v>
      </c>
      <c r="B23" s="8" t="s">
        <v>62</v>
      </c>
      <c r="C23" s="8" t="s">
        <v>63</v>
      </c>
      <c r="D23" s="8">
        <v>200</v>
      </c>
      <c r="E23" s="8">
        <v>10</v>
      </c>
      <c r="F23" s="8" t="s">
        <v>24</v>
      </c>
      <c r="G23" s="8" t="str">
        <f t="shared" si="0"/>
        <v>Standard price</v>
      </c>
      <c r="H23" s="8" t="str">
        <f t="shared" si="1"/>
        <v>14</v>
      </c>
      <c r="I23" s="8" t="str">
        <f t="shared" si="2"/>
        <v>US</v>
      </c>
      <c r="J23" s="10" t="str">
        <f t="shared" si="3"/>
        <v>AUG</v>
      </c>
      <c r="L23" s="5" t="s">
        <v>107</v>
      </c>
      <c r="M23" s="5">
        <f>COUNTIF(D4:D37, "&lt;100")</f>
        <v>11</v>
      </c>
      <c r="N23" s="4"/>
      <c r="O23" s="4"/>
      <c r="P23" s="4"/>
    </row>
    <row r="24" spans="1:22" ht="18" x14ac:dyDescent="0.2">
      <c r="A24" s="9" t="s">
        <v>64</v>
      </c>
      <c r="B24" s="8" t="s">
        <v>65</v>
      </c>
      <c r="C24" s="8" t="s">
        <v>66</v>
      </c>
      <c r="D24" s="8">
        <v>700</v>
      </c>
      <c r="E24" s="8">
        <v>50</v>
      </c>
      <c r="F24" s="8" t="s">
        <v>9</v>
      </c>
      <c r="G24" s="8" t="str">
        <f t="shared" si="0"/>
        <v>High Price</v>
      </c>
      <c r="H24" s="8" t="str">
        <f t="shared" si="1"/>
        <v>14</v>
      </c>
      <c r="I24" s="8" t="str">
        <f t="shared" si="2"/>
        <v>RU</v>
      </c>
      <c r="J24" s="10" t="str">
        <f t="shared" si="3"/>
        <v>MAY</v>
      </c>
    </row>
    <row r="25" spans="1:22" ht="18" x14ac:dyDescent="0.2">
      <c r="A25" s="9" t="s">
        <v>67</v>
      </c>
      <c r="B25" s="8" t="s">
        <v>68</v>
      </c>
      <c r="C25" s="8" t="s">
        <v>69</v>
      </c>
      <c r="D25" s="8">
        <v>80</v>
      </c>
      <c r="E25" s="8">
        <v>20</v>
      </c>
      <c r="F25" s="8" t="s">
        <v>17</v>
      </c>
      <c r="G25" s="8" t="str">
        <f t="shared" si="0"/>
        <v>Standard price</v>
      </c>
      <c r="H25" s="8" t="str">
        <f t="shared" si="1"/>
        <v>09</v>
      </c>
      <c r="I25" s="8" t="str">
        <f t="shared" si="2"/>
        <v>CA</v>
      </c>
      <c r="J25" s="10" t="str">
        <f t="shared" si="3"/>
        <v>JAN</v>
      </c>
    </row>
    <row r="26" spans="1:22" ht="18" x14ac:dyDescent="0.2">
      <c r="A26" s="9" t="s">
        <v>70</v>
      </c>
      <c r="B26" s="8" t="s">
        <v>71</v>
      </c>
      <c r="C26" s="8" t="s">
        <v>72</v>
      </c>
      <c r="D26" s="8">
        <v>150</v>
      </c>
      <c r="E26" s="8">
        <v>30</v>
      </c>
      <c r="F26" s="8" t="s">
        <v>9</v>
      </c>
      <c r="G26" s="8" t="str">
        <f t="shared" si="0"/>
        <v>Standard price</v>
      </c>
      <c r="H26" s="8" t="str">
        <f t="shared" si="1"/>
        <v>19</v>
      </c>
      <c r="I26" s="8" t="str">
        <f t="shared" si="2"/>
        <v>BR</v>
      </c>
      <c r="J26" s="10" t="str">
        <f t="shared" si="3"/>
        <v>JUL</v>
      </c>
    </row>
    <row r="27" spans="1:22" ht="18" x14ac:dyDescent="0.2">
      <c r="A27" s="9" t="s">
        <v>50</v>
      </c>
      <c r="B27" s="8" t="s">
        <v>51</v>
      </c>
      <c r="C27" s="8" t="s">
        <v>52</v>
      </c>
      <c r="D27" s="8">
        <v>50</v>
      </c>
      <c r="E27" s="8">
        <v>35</v>
      </c>
      <c r="F27" s="8" t="s">
        <v>53</v>
      </c>
      <c r="G27" s="8" t="str">
        <f t="shared" si="0"/>
        <v>Standard price</v>
      </c>
      <c r="H27" s="8" t="str">
        <f t="shared" si="1"/>
        <v>21</v>
      </c>
      <c r="I27" s="8" t="str">
        <f t="shared" si="2"/>
        <v>CA</v>
      </c>
      <c r="J27" s="10" t="str">
        <f t="shared" si="3"/>
        <v>AUG</v>
      </c>
    </row>
    <row r="28" spans="1:22" ht="18" x14ac:dyDescent="0.2">
      <c r="A28" s="9" t="s">
        <v>73</v>
      </c>
      <c r="B28" s="8" t="s">
        <v>19</v>
      </c>
      <c r="C28" s="8" t="s">
        <v>74</v>
      </c>
      <c r="D28" s="8">
        <v>800</v>
      </c>
      <c r="E28" s="8">
        <v>45</v>
      </c>
      <c r="F28" s="8" t="s">
        <v>9</v>
      </c>
      <c r="G28" s="8" t="str">
        <f t="shared" si="0"/>
        <v>High Price</v>
      </c>
      <c r="H28" s="8" t="str">
        <f t="shared" si="1"/>
        <v>29</v>
      </c>
      <c r="I28" s="8" t="str">
        <f t="shared" si="2"/>
        <v>CA</v>
      </c>
      <c r="J28" s="10" t="str">
        <f t="shared" si="3"/>
        <v>SEP</v>
      </c>
    </row>
    <row r="29" spans="1:22" ht="18" x14ac:dyDescent="0.2">
      <c r="A29" s="9" t="s">
        <v>75</v>
      </c>
      <c r="B29" s="8" t="s">
        <v>59</v>
      </c>
      <c r="C29" s="8" t="s">
        <v>76</v>
      </c>
      <c r="D29" s="8">
        <v>130</v>
      </c>
      <c r="E29" s="8">
        <v>25</v>
      </c>
      <c r="F29" s="8" t="s">
        <v>13</v>
      </c>
      <c r="G29" s="8" t="str">
        <f t="shared" si="0"/>
        <v>Standard price</v>
      </c>
      <c r="H29" s="8" t="str">
        <f t="shared" si="1"/>
        <v>03</v>
      </c>
      <c r="I29" s="8" t="str">
        <f t="shared" si="2"/>
        <v>CA</v>
      </c>
      <c r="J29" s="10" t="str">
        <f t="shared" si="3"/>
        <v>JUN</v>
      </c>
    </row>
    <row r="30" spans="1:22" ht="18" x14ac:dyDescent="0.2">
      <c r="A30" s="9" t="s">
        <v>77</v>
      </c>
      <c r="B30" s="8" t="s">
        <v>32</v>
      </c>
      <c r="C30" s="8" t="s">
        <v>78</v>
      </c>
      <c r="D30" s="8">
        <v>400</v>
      </c>
      <c r="E30" s="8">
        <v>40</v>
      </c>
      <c r="F30" s="8" t="s">
        <v>17</v>
      </c>
      <c r="G30" s="8" t="str">
        <f t="shared" si="0"/>
        <v>Standard price</v>
      </c>
      <c r="H30" s="8" t="str">
        <f t="shared" si="1"/>
        <v>11</v>
      </c>
      <c r="I30" s="8" t="str">
        <f t="shared" si="2"/>
        <v>CA</v>
      </c>
      <c r="J30" s="10" t="str">
        <f t="shared" si="3"/>
        <v>JUL</v>
      </c>
    </row>
    <row r="31" spans="1:22" ht="18" x14ac:dyDescent="0.2">
      <c r="A31" s="9" t="s">
        <v>48</v>
      </c>
      <c r="B31" s="8" t="s">
        <v>26</v>
      </c>
      <c r="C31" s="8" t="s">
        <v>49</v>
      </c>
      <c r="D31" s="8">
        <v>230</v>
      </c>
      <c r="E31" s="8">
        <v>20</v>
      </c>
      <c r="F31" s="8" t="s">
        <v>9</v>
      </c>
      <c r="G31" s="8" t="str">
        <f t="shared" si="0"/>
        <v>Standard price</v>
      </c>
      <c r="H31" s="8" t="str">
        <f t="shared" si="1"/>
        <v>16</v>
      </c>
      <c r="I31" s="8" t="str">
        <f t="shared" si="2"/>
        <v>ES</v>
      </c>
      <c r="J31" s="10" t="str">
        <f t="shared" si="3"/>
        <v>APR</v>
      </c>
    </row>
    <row r="32" spans="1:22" ht="18" x14ac:dyDescent="0.2">
      <c r="A32" s="9" t="s">
        <v>79</v>
      </c>
      <c r="B32" s="8" t="s">
        <v>80</v>
      </c>
      <c r="C32" s="8" t="s">
        <v>81</v>
      </c>
      <c r="D32" s="8">
        <v>60</v>
      </c>
      <c r="E32" s="8">
        <v>30</v>
      </c>
      <c r="F32" s="8" t="s">
        <v>13</v>
      </c>
      <c r="G32" s="8" t="str">
        <f t="shared" si="0"/>
        <v>Standard price</v>
      </c>
      <c r="H32" s="8" t="str">
        <f t="shared" si="1"/>
        <v>07</v>
      </c>
      <c r="I32" s="8" t="str">
        <f t="shared" si="2"/>
        <v>CA</v>
      </c>
      <c r="J32" s="10" t="str">
        <f t="shared" si="3"/>
        <v>MAR</v>
      </c>
    </row>
    <row r="33" spans="1:10" ht="18" x14ac:dyDescent="0.2">
      <c r="A33" s="9" t="s">
        <v>82</v>
      </c>
      <c r="B33" s="8" t="s">
        <v>83</v>
      </c>
      <c r="C33" s="8" t="s">
        <v>84</v>
      </c>
      <c r="D33" s="8">
        <v>40</v>
      </c>
      <c r="E33" s="8">
        <v>10</v>
      </c>
      <c r="F33" s="8" t="s">
        <v>17</v>
      </c>
      <c r="G33" s="8" t="str">
        <f t="shared" si="0"/>
        <v>Standard price</v>
      </c>
      <c r="H33" s="8" t="str">
        <f t="shared" si="1"/>
        <v>13</v>
      </c>
      <c r="I33" s="8" t="str">
        <f t="shared" si="2"/>
        <v>CA</v>
      </c>
      <c r="J33" s="10" t="str">
        <f t="shared" si="3"/>
        <v>APR</v>
      </c>
    </row>
    <row r="34" spans="1:10" ht="18" x14ac:dyDescent="0.2">
      <c r="A34" s="9" t="s">
        <v>85</v>
      </c>
      <c r="B34" s="8" t="s">
        <v>71</v>
      </c>
      <c r="C34" s="8" t="s">
        <v>86</v>
      </c>
      <c r="D34" s="8">
        <v>130</v>
      </c>
      <c r="E34" s="8">
        <v>5</v>
      </c>
      <c r="F34" s="8" t="s">
        <v>9</v>
      </c>
      <c r="G34" s="8" t="str">
        <f t="shared" si="0"/>
        <v>Standard price</v>
      </c>
      <c r="H34" s="8" t="str">
        <f t="shared" si="1"/>
        <v>24</v>
      </c>
      <c r="I34" s="8" t="str">
        <f t="shared" si="2"/>
        <v>CA</v>
      </c>
      <c r="J34" s="10" t="str">
        <f t="shared" si="3"/>
        <v>MAY</v>
      </c>
    </row>
    <row r="35" spans="1:10" ht="18" x14ac:dyDescent="0.2">
      <c r="A35" s="9" t="s">
        <v>87</v>
      </c>
      <c r="B35" s="8" t="s">
        <v>88</v>
      </c>
      <c r="C35" s="8" t="s">
        <v>89</v>
      </c>
      <c r="D35" s="8">
        <v>50</v>
      </c>
      <c r="E35" s="8">
        <v>50</v>
      </c>
      <c r="F35" s="8" t="s">
        <v>13</v>
      </c>
      <c r="G35" s="8" t="str">
        <f t="shared" si="0"/>
        <v>Standard price</v>
      </c>
      <c r="H35" s="8" t="str">
        <f t="shared" si="1"/>
        <v>02</v>
      </c>
      <c r="I35" s="8" t="str">
        <f t="shared" si="2"/>
        <v>CA</v>
      </c>
      <c r="J35" s="10" t="str">
        <f t="shared" si="3"/>
        <v>DEC</v>
      </c>
    </row>
    <row r="36" spans="1:10" ht="18" x14ac:dyDescent="0.2">
      <c r="A36" s="9" t="s">
        <v>40</v>
      </c>
      <c r="B36" s="8" t="s">
        <v>7</v>
      </c>
      <c r="C36" s="8" t="s">
        <v>41</v>
      </c>
      <c r="D36" s="8">
        <v>950</v>
      </c>
      <c r="E36" s="8">
        <v>25</v>
      </c>
      <c r="F36" s="8" t="s">
        <v>9</v>
      </c>
      <c r="G36" s="8" t="str">
        <f t="shared" si="0"/>
        <v>High Price</v>
      </c>
      <c r="H36" s="8" t="str">
        <f t="shared" si="1"/>
        <v>17</v>
      </c>
      <c r="I36" s="8" t="str">
        <f t="shared" si="2"/>
        <v>IN</v>
      </c>
      <c r="J36" s="10" t="str">
        <f t="shared" si="3"/>
        <v>JUN</v>
      </c>
    </row>
    <row r="37" spans="1:10" ht="18" x14ac:dyDescent="0.2">
      <c r="A37" s="14" t="s">
        <v>90</v>
      </c>
      <c r="B37" s="15" t="s">
        <v>91</v>
      </c>
      <c r="C37" s="15" t="s">
        <v>92</v>
      </c>
      <c r="D37" s="15">
        <v>100</v>
      </c>
      <c r="E37" s="15">
        <v>20</v>
      </c>
      <c r="F37" s="15" t="s">
        <v>53</v>
      </c>
      <c r="G37" s="15" t="str">
        <f t="shared" si="0"/>
        <v>Standard price</v>
      </c>
      <c r="H37" s="15" t="str">
        <f t="shared" si="1"/>
        <v>09</v>
      </c>
      <c r="I37" s="15" t="str">
        <f t="shared" si="2"/>
        <v>FR</v>
      </c>
      <c r="J37" s="16" t="str">
        <f t="shared" si="3"/>
        <v>JUL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3496-0B8A-A545-B5FF-096BFDD349FB}">
  <dimension ref="A1:S33"/>
  <sheetViews>
    <sheetView zoomScale="75" zoomScaleNormal="125" workbookViewId="0">
      <selection activeCell="L5" sqref="L5"/>
    </sheetView>
  </sheetViews>
  <sheetFormatPr baseColWidth="10" defaultRowHeight="16" x14ac:dyDescent="0.2"/>
  <cols>
    <col min="1" max="1" width="31.5" customWidth="1"/>
    <col min="2" max="2" width="21.33203125" customWidth="1"/>
    <col min="3" max="3" width="18.83203125" customWidth="1"/>
    <col min="4" max="4" width="22.5" customWidth="1"/>
    <col min="5" max="6" width="19.1640625" customWidth="1"/>
    <col min="7" max="7" width="17.1640625" customWidth="1"/>
    <col min="8" max="8" width="14" customWidth="1"/>
    <col min="10" max="10" width="16.83203125" customWidth="1"/>
    <col min="11" max="11" width="32.6640625" customWidth="1"/>
    <col min="13" max="13" width="36" customWidth="1"/>
  </cols>
  <sheetData>
    <row r="1" spans="1:19" ht="18" x14ac:dyDescent="0.2">
      <c r="A1" s="18"/>
      <c r="B1" s="18"/>
      <c r="C1" s="18"/>
      <c r="D1" s="18"/>
      <c r="E1" s="17" t="s">
        <v>117</v>
      </c>
      <c r="F1" s="18"/>
      <c r="G1" s="18"/>
      <c r="H1" s="18"/>
      <c r="I1" s="18"/>
      <c r="J1" s="18"/>
      <c r="K1" s="18"/>
      <c r="L1" s="18"/>
      <c r="M1" s="18"/>
      <c r="N1" s="18"/>
    </row>
    <row r="2" spans="1:19" ht="18" x14ac:dyDescent="0.2">
      <c r="A2" s="17" t="s">
        <v>119</v>
      </c>
      <c r="B2" s="17" t="s">
        <v>120</v>
      </c>
      <c r="C2" s="17" t="s">
        <v>122</v>
      </c>
      <c r="D2" s="17" t="s">
        <v>0</v>
      </c>
      <c r="E2" s="17" t="s">
        <v>1</v>
      </c>
      <c r="F2" s="17" t="s">
        <v>1</v>
      </c>
      <c r="G2" s="17" t="s">
        <v>2</v>
      </c>
      <c r="H2" s="17" t="s">
        <v>3</v>
      </c>
      <c r="I2" s="17" t="s">
        <v>4</v>
      </c>
      <c r="J2" s="17" t="s">
        <v>5</v>
      </c>
      <c r="K2" s="17" t="s">
        <v>121</v>
      </c>
      <c r="L2" s="18"/>
      <c r="M2" s="18"/>
      <c r="N2" s="18"/>
    </row>
    <row r="3" spans="1:19" ht="18" x14ac:dyDescent="0.2">
      <c r="A3" s="18" t="str">
        <f>LEFT(D3,6)</f>
        <v>28-JAN</v>
      </c>
      <c r="B3" s="18" t="str">
        <f>RIGHT(D3,2)</f>
        <v>US</v>
      </c>
      <c r="C3" s="21">
        <f>DATEVALUE(LEFT(D3,6) &amp;"-2026")</f>
        <v>46050</v>
      </c>
      <c r="D3" s="18" t="s">
        <v>6</v>
      </c>
      <c r="E3" s="18" t="str">
        <f t="shared" ref="E3:E33" si="0">PROPER(F3)</f>
        <v>Laptop</v>
      </c>
      <c r="F3" s="18" t="s">
        <v>111</v>
      </c>
      <c r="G3" s="18" t="s">
        <v>8</v>
      </c>
      <c r="H3" s="20">
        <v>1000</v>
      </c>
      <c r="I3" s="18">
        <v>30</v>
      </c>
      <c r="J3" s="18" t="s">
        <v>9</v>
      </c>
      <c r="K3" s="18" t="str">
        <f>CONCATENATE(G3, " ", PROPER(F3))</f>
        <v>Dell Laptop</v>
      </c>
      <c r="L3" s="18"/>
      <c r="M3" s="18"/>
      <c r="N3" s="18"/>
    </row>
    <row r="4" spans="1:19" ht="18" x14ac:dyDescent="0.2">
      <c r="A4" s="18" t="str">
        <f t="shared" ref="A4:A33" si="1">LEFT(D4,6)</f>
        <v>15-FEB</v>
      </c>
      <c r="B4" s="18" t="str">
        <f t="shared" ref="B4:B33" si="2">RIGHT(D4,2)</f>
        <v>US</v>
      </c>
      <c r="C4" s="21">
        <f t="shared" ref="C4:C33" si="3">DATEVALUE(LEFT(D4,6) &amp;"-2026")</f>
        <v>46068</v>
      </c>
      <c r="D4" s="18" t="s">
        <v>10</v>
      </c>
      <c r="E4" s="18" t="str">
        <f t="shared" si="0"/>
        <v>Sneakers</v>
      </c>
      <c r="F4" s="18" t="s">
        <v>11</v>
      </c>
      <c r="G4" s="18" t="s">
        <v>12</v>
      </c>
      <c r="H4" s="20">
        <v>80</v>
      </c>
      <c r="I4" s="18">
        <v>15</v>
      </c>
      <c r="J4" s="18" t="s">
        <v>13</v>
      </c>
      <c r="K4" s="18" t="str">
        <f t="shared" ref="K4:K33" si="4">CONCATENATE(G4, " ", PROPER(F4))</f>
        <v>Nike Sneakers</v>
      </c>
      <c r="L4" s="18"/>
      <c r="M4" s="18"/>
      <c r="N4" s="18"/>
    </row>
    <row r="5" spans="1:19" ht="97" customHeight="1" x14ac:dyDescent="0.2">
      <c r="A5" s="18" t="str">
        <f t="shared" si="1"/>
        <v>03-MAR</v>
      </c>
      <c r="B5" s="18" t="str">
        <f t="shared" si="2"/>
        <v>US</v>
      </c>
      <c r="C5" s="21">
        <f t="shared" si="3"/>
        <v>46084</v>
      </c>
      <c r="D5" s="18" t="s">
        <v>14</v>
      </c>
      <c r="E5" s="18" t="str">
        <f t="shared" si="0"/>
        <v>Coffee Maker</v>
      </c>
      <c r="F5" s="18" t="s">
        <v>15</v>
      </c>
      <c r="G5" s="18" t="s">
        <v>16</v>
      </c>
      <c r="H5" s="20">
        <v>130</v>
      </c>
      <c r="I5" s="18">
        <v>40</v>
      </c>
      <c r="J5" s="18" t="s">
        <v>17</v>
      </c>
      <c r="K5" s="18" t="str">
        <f t="shared" si="4"/>
        <v>Keurig Coffee Maker</v>
      </c>
      <c r="L5" s="18">
        <f>AVERAGEIF(F3:F36,F3,H3:H36)</f>
        <v>976.66666666666663</v>
      </c>
      <c r="M5" s="22" t="s">
        <v>114</v>
      </c>
      <c r="N5" s="18"/>
    </row>
    <row r="6" spans="1:19" ht="18" x14ac:dyDescent="0.2">
      <c r="A6" s="18" t="str">
        <f t="shared" si="1"/>
        <v>11-APR</v>
      </c>
      <c r="B6" s="18" t="str">
        <f t="shared" si="2"/>
        <v>US</v>
      </c>
      <c r="C6" s="21">
        <f t="shared" si="3"/>
        <v>46123</v>
      </c>
      <c r="D6" s="18" t="s">
        <v>18</v>
      </c>
      <c r="E6" s="18" t="str">
        <f t="shared" si="0"/>
        <v>Smartphone</v>
      </c>
      <c r="F6" s="18" t="s">
        <v>112</v>
      </c>
      <c r="G6" s="18" t="s">
        <v>20</v>
      </c>
      <c r="H6" s="20">
        <v>900</v>
      </c>
      <c r="I6" s="18">
        <v>25</v>
      </c>
      <c r="J6" s="18" t="s">
        <v>9</v>
      </c>
      <c r="K6" s="18" t="str">
        <f t="shared" si="4"/>
        <v>Samsung Smartphone</v>
      </c>
      <c r="L6" s="18"/>
      <c r="M6" s="18"/>
      <c r="N6" s="18"/>
    </row>
    <row r="7" spans="1:19" ht="84" customHeight="1" x14ac:dyDescent="0.2">
      <c r="A7" s="18" t="str">
        <f t="shared" si="1"/>
        <v>22-MAY</v>
      </c>
      <c r="B7" s="18" t="str">
        <f t="shared" si="2"/>
        <v>US</v>
      </c>
      <c r="C7" s="21">
        <f t="shared" si="3"/>
        <v>46164</v>
      </c>
      <c r="D7" s="18" t="s">
        <v>21</v>
      </c>
      <c r="E7" s="18" t="str">
        <f t="shared" si="0"/>
        <v>Backpack</v>
      </c>
      <c r="F7" s="18" t="s">
        <v>22</v>
      </c>
      <c r="G7" s="18" t="s">
        <v>23</v>
      </c>
      <c r="H7" s="20">
        <v>70</v>
      </c>
      <c r="I7" s="18">
        <v>20</v>
      </c>
      <c r="J7" s="18" t="s">
        <v>13</v>
      </c>
      <c r="K7" s="18" t="str">
        <f t="shared" si="4"/>
        <v>North Face Backpack</v>
      </c>
      <c r="L7" s="18"/>
      <c r="M7" s="22" t="s">
        <v>115</v>
      </c>
      <c r="N7" s="22" t="str">
        <f>_xlfn.XLOOKUP(F14,F3:F36, J3:J36,  "uncategorized",0)</f>
        <v>Fashion</v>
      </c>
      <c r="O7" s="4"/>
      <c r="P7" s="4"/>
      <c r="Q7" s="4"/>
      <c r="R7" s="4"/>
      <c r="S7" s="4"/>
    </row>
    <row r="8" spans="1:19" ht="18" x14ac:dyDescent="0.2">
      <c r="A8" s="18" t="str">
        <f t="shared" si="1"/>
        <v>07-JUN</v>
      </c>
      <c r="B8" s="18" t="str">
        <f t="shared" si="2"/>
        <v>UK</v>
      </c>
      <c r="C8" s="21">
        <f t="shared" si="3"/>
        <v>46180</v>
      </c>
      <c r="D8" s="18" t="s">
        <v>25</v>
      </c>
      <c r="E8" s="18" t="str">
        <f t="shared" si="0"/>
        <v>Headphones</v>
      </c>
      <c r="F8" s="18" t="s">
        <v>26</v>
      </c>
      <c r="G8" s="18" t="s">
        <v>27</v>
      </c>
      <c r="H8" s="20">
        <v>970</v>
      </c>
      <c r="I8" s="18">
        <v>45</v>
      </c>
      <c r="J8" s="18" t="s">
        <v>9</v>
      </c>
      <c r="K8" s="18" t="str">
        <f t="shared" si="4"/>
        <v>Sony Headphones</v>
      </c>
      <c r="L8" s="18"/>
      <c r="M8" s="18"/>
      <c r="N8" s="18"/>
    </row>
    <row r="9" spans="1:19" ht="57" x14ac:dyDescent="0.2">
      <c r="A9" s="18" t="str">
        <f t="shared" si="1"/>
        <v>19-JUL</v>
      </c>
      <c r="B9" s="18" t="str">
        <f t="shared" si="2"/>
        <v>UK</v>
      </c>
      <c r="C9" s="21">
        <f t="shared" si="3"/>
        <v>46222</v>
      </c>
      <c r="D9" s="18" t="s">
        <v>28</v>
      </c>
      <c r="E9" s="18" t="str">
        <f t="shared" si="0"/>
        <v>T-Shirt</v>
      </c>
      <c r="F9" s="18" t="s">
        <v>29</v>
      </c>
      <c r="G9" s="18" t="s">
        <v>30</v>
      </c>
      <c r="H9" s="20">
        <v>30</v>
      </c>
      <c r="I9" s="18">
        <v>5</v>
      </c>
      <c r="J9" s="18" t="s">
        <v>13</v>
      </c>
      <c r="K9" s="18" t="str">
        <f t="shared" si="4"/>
        <v>Adidas T-Shirt</v>
      </c>
      <c r="L9" s="18"/>
      <c r="M9" s="22" t="s">
        <v>116</v>
      </c>
      <c r="N9" s="22" t="str">
        <f>PROPER(F3)</f>
        <v>Laptop</v>
      </c>
      <c r="O9" s="4"/>
      <c r="P9" s="4"/>
    </row>
    <row r="10" spans="1:19" ht="18" x14ac:dyDescent="0.2">
      <c r="A10" s="18" t="str">
        <f t="shared" si="1"/>
        <v>23-AUG</v>
      </c>
      <c r="B10" s="18" t="str">
        <f t="shared" si="2"/>
        <v>UK</v>
      </c>
      <c r="C10" s="21">
        <f t="shared" si="3"/>
        <v>46257</v>
      </c>
      <c r="D10" s="18" t="s">
        <v>31</v>
      </c>
      <c r="E10" s="18" t="str">
        <f t="shared" si="0"/>
        <v>Blender</v>
      </c>
      <c r="F10" s="18" t="s">
        <v>32</v>
      </c>
      <c r="G10" s="18" t="s">
        <v>33</v>
      </c>
      <c r="H10" s="20">
        <v>90</v>
      </c>
      <c r="I10" s="18">
        <v>35</v>
      </c>
      <c r="J10" s="18" t="s">
        <v>17</v>
      </c>
      <c r="K10" s="18" t="str">
        <f t="shared" si="4"/>
        <v>Ninja Blender</v>
      </c>
      <c r="L10" s="18"/>
      <c r="M10" s="18"/>
      <c r="N10" s="18"/>
    </row>
    <row r="11" spans="1:19" ht="18" x14ac:dyDescent="0.2">
      <c r="A11" s="18" t="str">
        <f t="shared" si="1"/>
        <v>05-SEP</v>
      </c>
      <c r="B11" s="18" t="str">
        <f t="shared" si="2"/>
        <v>UK</v>
      </c>
      <c r="C11" s="21">
        <f t="shared" si="3"/>
        <v>46270</v>
      </c>
      <c r="D11" s="18" t="s">
        <v>34</v>
      </c>
      <c r="E11" s="18" t="str">
        <f t="shared" si="0"/>
        <v>Tablet</v>
      </c>
      <c r="F11" s="18" t="s">
        <v>35</v>
      </c>
      <c r="G11" s="18" t="s">
        <v>36</v>
      </c>
      <c r="H11" s="20">
        <v>500</v>
      </c>
      <c r="I11" s="18">
        <v>50</v>
      </c>
      <c r="J11" s="18" t="s">
        <v>9</v>
      </c>
      <c r="K11" s="18" t="str">
        <f t="shared" si="4"/>
        <v>Apple Tablet</v>
      </c>
      <c r="L11" s="18"/>
      <c r="M11" s="22"/>
      <c r="N11" s="22"/>
      <c r="O11" s="4"/>
    </row>
    <row r="12" spans="1:19" ht="57" x14ac:dyDescent="0.2">
      <c r="A12" s="18" t="str">
        <f t="shared" si="1"/>
        <v>14-OCT</v>
      </c>
      <c r="B12" s="18" t="str">
        <f t="shared" si="2"/>
        <v>UK</v>
      </c>
      <c r="C12" s="21">
        <f t="shared" si="3"/>
        <v>46309</v>
      </c>
      <c r="D12" s="18" t="s">
        <v>37</v>
      </c>
      <c r="E12" s="18" t="str">
        <f t="shared" si="0"/>
        <v>Hiking Boots</v>
      </c>
      <c r="F12" s="18" t="s">
        <v>38</v>
      </c>
      <c r="G12" s="18" t="s">
        <v>39</v>
      </c>
      <c r="H12" s="20">
        <v>130</v>
      </c>
      <c r="I12" s="18">
        <v>10</v>
      </c>
      <c r="J12" s="18" t="s">
        <v>24</v>
      </c>
      <c r="K12" s="18" t="str">
        <f t="shared" si="4"/>
        <v>Timberland Hiking Boots</v>
      </c>
      <c r="L12" s="18"/>
      <c r="M12" s="22" t="s">
        <v>118</v>
      </c>
      <c r="N12" s="18"/>
    </row>
    <row r="13" spans="1:19" ht="18" x14ac:dyDescent="0.2">
      <c r="A13" s="18" t="str">
        <f t="shared" si="1"/>
        <v>17-JUN</v>
      </c>
      <c r="B13" s="18" t="str">
        <f t="shared" si="2"/>
        <v>IN</v>
      </c>
      <c r="C13" s="21">
        <f t="shared" si="3"/>
        <v>46190</v>
      </c>
      <c r="D13" s="18" t="s">
        <v>40</v>
      </c>
      <c r="E13" s="18" t="str">
        <f t="shared" si="0"/>
        <v>Laptop</v>
      </c>
      <c r="F13" s="18" t="s">
        <v>7</v>
      </c>
      <c r="G13" s="18" t="s">
        <v>41</v>
      </c>
      <c r="H13" s="20">
        <v>950</v>
      </c>
      <c r="I13" s="18">
        <v>25</v>
      </c>
      <c r="J13" s="18" t="s">
        <v>9</v>
      </c>
      <c r="K13" s="18" t="str">
        <f t="shared" si="4"/>
        <v>HP Laptop</v>
      </c>
      <c r="L13" s="18"/>
      <c r="M13" s="18"/>
      <c r="N13" s="18"/>
    </row>
    <row r="14" spans="1:19" ht="18" x14ac:dyDescent="0.2">
      <c r="A14" s="18" t="str">
        <f t="shared" si="1"/>
        <v>25-NOV</v>
      </c>
      <c r="B14" s="18" t="str">
        <f t="shared" si="2"/>
        <v>AU</v>
      </c>
      <c r="C14" s="21">
        <f t="shared" si="3"/>
        <v>46351</v>
      </c>
      <c r="D14" s="18" t="s">
        <v>42</v>
      </c>
      <c r="E14" s="18" t="str">
        <f t="shared" si="0"/>
        <v>Sneakers</v>
      </c>
      <c r="F14" s="18" t="s">
        <v>11</v>
      </c>
      <c r="G14" s="18" t="s">
        <v>30</v>
      </c>
      <c r="H14" s="20">
        <v>90</v>
      </c>
      <c r="I14" s="18">
        <v>40</v>
      </c>
      <c r="J14" s="18" t="s">
        <v>13</v>
      </c>
      <c r="K14" s="18" t="str">
        <f t="shared" si="4"/>
        <v>Adidas Sneakers</v>
      </c>
      <c r="L14" s="18"/>
      <c r="M14" s="18"/>
      <c r="N14" s="18"/>
    </row>
    <row r="15" spans="1:19" ht="18" x14ac:dyDescent="0.2">
      <c r="A15" s="18" t="str">
        <f t="shared" si="1"/>
        <v>08-DEC</v>
      </c>
      <c r="B15" s="18" t="str">
        <f t="shared" si="2"/>
        <v>DE</v>
      </c>
      <c r="C15" s="21">
        <f t="shared" si="3"/>
        <v>46364</v>
      </c>
      <c r="D15" s="18" t="s">
        <v>43</v>
      </c>
      <c r="E15" s="18" t="str">
        <f t="shared" si="0"/>
        <v>Coffee Maker</v>
      </c>
      <c r="F15" s="18" t="s">
        <v>15</v>
      </c>
      <c r="G15" s="18" t="s">
        <v>44</v>
      </c>
      <c r="H15" s="20">
        <v>120</v>
      </c>
      <c r="I15" s="18">
        <v>35</v>
      </c>
      <c r="J15" s="18" t="str">
        <f>_xlfn.XLOOKUP(F15,F3:F36, J3:J36, "Uncategorized",0)</f>
        <v>Kitchen</v>
      </c>
      <c r="K15" s="18" t="str">
        <f t="shared" si="4"/>
        <v>Nespresso Coffee Maker</v>
      </c>
      <c r="L15" s="18"/>
      <c r="M15" s="18"/>
      <c r="N15" s="18"/>
    </row>
    <row r="16" spans="1:19" ht="18" x14ac:dyDescent="0.2">
      <c r="A16" s="18" t="str">
        <f t="shared" si="1"/>
        <v>18-FEB</v>
      </c>
      <c r="B16" s="18" t="str">
        <f t="shared" si="2"/>
        <v>CA</v>
      </c>
      <c r="C16" s="21">
        <f t="shared" si="3"/>
        <v>46071</v>
      </c>
      <c r="D16" s="18" t="s">
        <v>45</v>
      </c>
      <c r="E16" s="18" t="str">
        <f t="shared" si="0"/>
        <v>Smartwatch</v>
      </c>
      <c r="F16" s="18" t="s">
        <v>46</v>
      </c>
      <c r="G16" s="18" t="s">
        <v>47</v>
      </c>
      <c r="H16" s="20">
        <v>150</v>
      </c>
      <c r="I16" s="18">
        <v>15</v>
      </c>
      <c r="J16" s="18" t="s">
        <v>9</v>
      </c>
      <c r="K16" s="18" t="str">
        <f t="shared" si="4"/>
        <v>Fitbit Smartwatch</v>
      </c>
      <c r="L16" s="18"/>
      <c r="M16" s="18"/>
      <c r="N16" s="18"/>
    </row>
    <row r="17" spans="1:14" ht="18" x14ac:dyDescent="0.2">
      <c r="A17" s="18" t="str">
        <f t="shared" si="1"/>
        <v>16-APR</v>
      </c>
      <c r="B17" s="18" t="str">
        <f t="shared" si="2"/>
        <v>ES</v>
      </c>
      <c r="C17" s="21">
        <f t="shared" si="3"/>
        <v>46128</v>
      </c>
      <c r="D17" s="18" t="s">
        <v>48</v>
      </c>
      <c r="E17" s="18" t="str">
        <f t="shared" si="0"/>
        <v>Headphones</v>
      </c>
      <c r="F17" s="18" t="s">
        <v>113</v>
      </c>
      <c r="G17" s="18" t="s">
        <v>49</v>
      </c>
      <c r="H17" s="20">
        <v>250</v>
      </c>
      <c r="I17" s="18">
        <v>20</v>
      </c>
      <c r="J17" s="18" t="s">
        <v>9</v>
      </c>
      <c r="K17" s="18" t="str">
        <f t="shared" si="4"/>
        <v>Bose Headphones</v>
      </c>
      <c r="L17" s="18"/>
      <c r="M17" s="18"/>
      <c r="N17" s="18"/>
    </row>
    <row r="18" spans="1:14" ht="18" x14ac:dyDescent="0.2">
      <c r="A18" s="18" t="str">
        <f t="shared" si="1"/>
        <v>21-AUG</v>
      </c>
      <c r="B18" s="18" t="str">
        <f t="shared" si="2"/>
        <v>CA</v>
      </c>
      <c r="C18" s="21">
        <f t="shared" si="3"/>
        <v>46255</v>
      </c>
      <c r="D18" s="18" t="s">
        <v>50</v>
      </c>
      <c r="E18" s="18" t="str">
        <f t="shared" si="0"/>
        <v>Laptop Bag</v>
      </c>
      <c r="F18" s="18" t="s">
        <v>51</v>
      </c>
      <c r="G18" s="18" t="s">
        <v>52</v>
      </c>
      <c r="H18" s="20">
        <v>50</v>
      </c>
      <c r="I18" s="18">
        <v>35</v>
      </c>
      <c r="J18" s="18" t="s">
        <v>53</v>
      </c>
      <c r="K18" s="18" t="str">
        <f t="shared" si="4"/>
        <v>Samsonite Laptop Bag</v>
      </c>
      <c r="L18" s="18"/>
      <c r="M18" s="18"/>
      <c r="N18" s="18"/>
    </row>
    <row r="19" spans="1:14" ht="18" x14ac:dyDescent="0.2">
      <c r="A19" s="18" t="str">
        <f t="shared" si="1"/>
        <v>20-AUG</v>
      </c>
      <c r="B19" s="18" t="str">
        <f t="shared" si="2"/>
        <v>CN</v>
      </c>
      <c r="C19" s="21">
        <f t="shared" si="3"/>
        <v>46254</v>
      </c>
      <c r="D19" s="18" t="s">
        <v>54</v>
      </c>
      <c r="E19" s="18" t="str">
        <f t="shared" si="0"/>
        <v>Smartwatch</v>
      </c>
      <c r="F19" s="18" t="s">
        <v>46</v>
      </c>
      <c r="G19" s="18" t="s">
        <v>55</v>
      </c>
      <c r="H19" s="20">
        <v>160</v>
      </c>
      <c r="I19" s="18">
        <v>15</v>
      </c>
      <c r="J19" s="18" t="s">
        <v>9</v>
      </c>
      <c r="K19" s="18" t="str">
        <f t="shared" si="4"/>
        <v>Huawei Smartwatch</v>
      </c>
      <c r="L19" s="18"/>
      <c r="M19" s="18"/>
      <c r="N19" s="18"/>
    </row>
    <row r="20" spans="1:14" ht="18" x14ac:dyDescent="0.2">
      <c r="A20" s="18" t="str">
        <f t="shared" si="1"/>
        <v>27-JAN</v>
      </c>
      <c r="B20" s="18" t="str">
        <f t="shared" si="2"/>
        <v>IT</v>
      </c>
      <c r="C20" s="21">
        <f t="shared" si="3"/>
        <v>46049</v>
      </c>
      <c r="D20" s="18" t="s">
        <v>56</v>
      </c>
      <c r="E20" s="18" t="str">
        <f t="shared" si="0"/>
        <v>Laptop</v>
      </c>
      <c r="F20" s="18" t="s">
        <v>111</v>
      </c>
      <c r="G20" s="18" t="s">
        <v>57</v>
      </c>
      <c r="H20" s="20">
        <v>980</v>
      </c>
      <c r="I20" s="18">
        <v>10</v>
      </c>
      <c r="J20" s="18" t="s">
        <v>9</v>
      </c>
      <c r="K20" s="18" t="str">
        <f t="shared" si="4"/>
        <v>Asus Laptop</v>
      </c>
      <c r="L20" s="18"/>
      <c r="M20" s="18"/>
      <c r="N20" s="18"/>
    </row>
    <row r="21" spans="1:14" ht="18" x14ac:dyDescent="0.2">
      <c r="A21" s="18" t="str">
        <f t="shared" si="1"/>
        <v>01-MAR</v>
      </c>
      <c r="B21" s="18" t="str">
        <f t="shared" si="2"/>
        <v>UK</v>
      </c>
      <c r="C21" s="21">
        <f t="shared" si="3"/>
        <v>46082</v>
      </c>
      <c r="D21" s="18" t="s">
        <v>58</v>
      </c>
      <c r="E21" s="18" t="str">
        <f t="shared" si="0"/>
        <v>Sunglasses</v>
      </c>
      <c r="F21" s="18" t="s">
        <v>59</v>
      </c>
      <c r="G21" s="18" t="s">
        <v>60</v>
      </c>
      <c r="H21" s="20">
        <v>150</v>
      </c>
      <c r="I21" s="18">
        <v>15</v>
      </c>
      <c r="J21" s="18" t="s">
        <v>13</v>
      </c>
      <c r="K21" s="18" t="str">
        <f t="shared" si="4"/>
        <v>Oakley Sunglasses</v>
      </c>
      <c r="L21" s="18"/>
      <c r="M21" s="18"/>
      <c r="N21" s="18"/>
    </row>
    <row r="22" spans="1:14" ht="18" x14ac:dyDescent="0.2">
      <c r="A22" s="18" t="str">
        <f t="shared" si="1"/>
        <v>14-AUG</v>
      </c>
      <c r="B22" s="18" t="str">
        <f t="shared" si="2"/>
        <v>US</v>
      </c>
      <c r="C22" s="21">
        <f t="shared" si="3"/>
        <v>46248</v>
      </c>
      <c r="D22" s="18" t="s">
        <v>61</v>
      </c>
      <c r="E22" s="18" t="str">
        <f t="shared" si="0"/>
        <v>Camping Tent</v>
      </c>
      <c r="F22" s="18" t="s">
        <v>62</v>
      </c>
      <c r="G22" s="18" t="s">
        <v>63</v>
      </c>
      <c r="H22" s="20">
        <v>970</v>
      </c>
      <c r="I22" s="18">
        <v>10</v>
      </c>
      <c r="J22" s="18" t="s">
        <v>24</v>
      </c>
      <c r="K22" s="18" t="str">
        <f t="shared" si="4"/>
        <v>Coleman Camping Tent</v>
      </c>
      <c r="L22" s="18"/>
      <c r="M22" s="18"/>
      <c r="N22" s="18"/>
    </row>
    <row r="23" spans="1:14" ht="18" x14ac:dyDescent="0.2">
      <c r="A23" s="18" t="str">
        <f t="shared" si="1"/>
        <v>14-MAY</v>
      </c>
      <c r="B23" s="18" t="str">
        <f t="shared" si="2"/>
        <v>RU</v>
      </c>
      <c r="C23" s="21">
        <f t="shared" si="3"/>
        <v>46156</v>
      </c>
      <c r="D23" s="18" t="s">
        <v>64</v>
      </c>
      <c r="E23" s="18" t="str">
        <f t="shared" si="0"/>
        <v>Camera</v>
      </c>
      <c r="F23" s="18" t="s">
        <v>65</v>
      </c>
      <c r="G23" s="18" t="s">
        <v>66</v>
      </c>
      <c r="H23" s="20">
        <v>700</v>
      </c>
      <c r="I23" s="18">
        <v>50</v>
      </c>
      <c r="J23" s="18" t="s">
        <v>9</v>
      </c>
      <c r="K23" s="18" t="str">
        <f t="shared" si="4"/>
        <v>Nikon Camera</v>
      </c>
      <c r="L23" s="18"/>
      <c r="M23" s="18"/>
      <c r="N23" s="18"/>
    </row>
    <row r="24" spans="1:14" ht="18" x14ac:dyDescent="0.2">
      <c r="A24" s="18" t="str">
        <f t="shared" si="1"/>
        <v>09-JAN</v>
      </c>
      <c r="B24" s="18" t="str">
        <f t="shared" si="2"/>
        <v>CA</v>
      </c>
      <c r="C24" s="21">
        <f t="shared" si="3"/>
        <v>46031</v>
      </c>
      <c r="D24" s="18" t="s">
        <v>67</v>
      </c>
      <c r="E24" s="18" t="str">
        <f t="shared" si="0"/>
        <v>Microwave</v>
      </c>
      <c r="F24" s="18" t="s">
        <v>68</v>
      </c>
      <c r="G24" s="18" t="s">
        <v>69</v>
      </c>
      <c r="H24" s="20">
        <v>80</v>
      </c>
      <c r="I24" s="18">
        <v>20</v>
      </c>
      <c r="J24" s="18" t="s">
        <v>17</v>
      </c>
      <c r="K24" s="18" t="str">
        <f t="shared" si="4"/>
        <v>Panasonic Microwave</v>
      </c>
      <c r="L24" s="18"/>
      <c r="M24" s="18"/>
      <c r="N24" s="18"/>
    </row>
    <row r="25" spans="1:14" ht="18" x14ac:dyDescent="0.2">
      <c r="A25" s="18" t="str">
        <f t="shared" si="1"/>
        <v>19-JUL</v>
      </c>
      <c r="B25" s="18" t="str">
        <f t="shared" si="2"/>
        <v>BR</v>
      </c>
      <c r="C25" s="21">
        <f t="shared" si="3"/>
        <v>46222</v>
      </c>
      <c r="D25" s="18" t="s">
        <v>70</v>
      </c>
      <c r="E25" s="18" t="str">
        <f t="shared" si="0"/>
        <v>Fitness Tracker</v>
      </c>
      <c r="F25" s="18" t="s">
        <v>71</v>
      </c>
      <c r="G25" s="18" t="s">
        <v>72</v>
      </c>
      <c r="H25" s="20">
        <v>150</v>
      </c>
      <c r="I25" s="18">
        <v>30</v>
      </c>
      <c r="J25" s="19" t="s">
        <v>9</v>
      </c>
      <c r="K25" s="18" t="str">
        <f t="shared" si="4"/>
        <v>Xiaomi Fitness Tracker</v>
      </c>
      <c r="L25" s="18"/>
      <c r="M25" s="18"/>
      <c r="N25" s="18"/>
    </row>
    <row r="26" spans="1:14" ht="18" x14ac:dyDescent="0.2">
      <c r="A26" s="18" t="str">
        <f t="shared" si="1"/>
        <v>29-SEP</v>
      </c>
      <c r="B26" s="18" t="str">
        <f t="shared" si="2"/>
        <v>CA</v>
      </c>
      <c r="C26" s="21">
        <f t="shared" si="3"/>
        <v>46294</v>
      </c>
      <c r="D26" s="18" t="s">
        <v>73</v>
      </c>
      <c r="E26" s="18" t="str">
        <f t="shared" si="0"/>
        <v>Smartphone</v>
      </c>
      <c r="F26" s="18" t="s">
        <v>19</v>
      </c>
      <c r="G26" s="18" t="s">
        <v>74</v>
      </c>
      <c r="H26" s="20">
        <v>800</v>
      </c>
      <c r="I26" s="18">
        <v>45</v>
      </c>
      <c r="J26" s="18" t="s">
        <v>9</v>
      </c>
      <c r="K26" s="18" t="str">
        <f t="shared" si="4"/>
        <v>Google Smartphone</v>
      </c>
      <c r="L26" s="18"/>
      <c r="M26" s="18"/>
      <c r="N26" s="18"/>
    </row>
    <row r="27" spans="1:14" ht="18" x14ac:dyDescent="0.2">
      <c r="A27" s="18" t="str">
        <f t="shared" si="1"/>
        <v>03-JUN</v>
      </c>
      <c r="B27" s="18" t="str">
        <f t="shared" si="2"/>
        <v>CA</v>
      </c>
      <c r="C27" s="21">
        <f t="shared" si="3"/>
        <v>46176</v>
      </c>
      <c r="D27" s="18" t="s">
        <v>75</v>
      </c>
      <c r="E27" s="18" t="str">
        <f t="shared" si="0"/>
        <v>Sunglasses</v>
      </c>
      <c r="F27" s="18" t="s">
        <v>59</v>
      </c>
      <c r="G27" s="18" t="s">
        <v>76</v>
      </c>
      <c r="H27" s="20">
        <v>970</v>
      </c>
      <c r="I27" s="18">
        <v>25</v>
      </c>
      <c r="J27" s="18" t="s">
        <v>13</v>
      </c>
      <c r="K27" s="18" t="str">
        <f t="shared" si="4"/>
        <v>Ray-Ban Sunglasses</v>
      </c>
      <c r="L27" s="18"/>
      <c r="M27" s="18"/>
      <c r="N27" s="18"/>
    </row>
    <row r="28" spans="1:14" ht="18" x14ac:dyDescent="0.2">
      <c r="A28" s="18" t="str">
        <f t="shared" si="1"/>
        <v>11-JUL</v>
      </c>
      <c r="B28" s="18" t="str">
        <f t="shared" si="2"/>
        <v>CA</v>
      </c>
      <c r="C28" s="21">
        <f t="shared" si="3"/>
        <v>46214</v>
      </c>
      <c r="D28" s="18" t="s">
        <v>77</v>
      </c>
      <c r="E28" s="18" t="str">
        <f t="shared" si="0"/>
        <v>Blender</v>
      </c>
      <c r="F28" s="18" t="s">
        <v>32</v>
      </c>
      <c r="G28" s="18" t="s">
        <v>78</v>
      </c>
      <c r="H28" s="20">
        <v>400</v>
      </c>
      <c r="I28" s="18">
        <v>40</v>
      </c>
      <c r="J28" s="18" t="s">
        <v>17</v>
      </c>
      <c r="K28" s="18" t="str">
        <f t="shared" si="4"/>
        <v>Vitamix Blender</v>
      </c>
      <c r="L28" s="18"/>
      <c r="M28" s="18"/>
      <c r="N28" s="18"/>
    </row>
    <row r="29" spans="1:14" ht="18" x14ac:dyDescent="0.2">
      <c r="A29" s="18" t="str">
        <f t="shared" si="1"/>
        <v>07-MAR</v>
      </c>
      <c r="B29" s="18" t="str">
        <f t="shared" si="2"/>
        <v>CA</v>
      </c>
      <c r="C29" s="21">
        <f t="shared" si="3"/>
        <v>46088</v>
      </c>
      <c r="D29" s="18" t="s">
        <v>79</v>
      </c>
      <c r="E29" s="18" t="str">
        <f t="shared" si="0"/>
        <v>Dress</v>
      </c>
      <c r="F29" s="18" t="s">
        <v>80</v>
      </c>
      <c r="G29" s="18" t="s">
        <v>81</v>
      </c>
      <c r="H29" s="20">
        <v>60</v>
      </c>
      <c r="I29" s="18">
        <v>30</v>
      </c>
      <c r="J29" s="18" t="s">
        <v>13</v>
      </c>
      <c r="K29" s="18" t="str">
        <f t="shared" si="4"/>
        <v>Zara Dress</v>
      </c>
      <c r="L29" s="18"/>
      <c r="M29" s="18"/>
      <c r="N29" s="18"/>
    </row>
    <row r="30" spans="1:14" ht="18" x14ac:dyDescent="0.2">
      <c r="A30" s="18" t="str">
        <f t="shared" si="1"/>
        <v>13-APR</v>
      </c>
      <c r="B30" s="18" t="str">
        <f t="shared" si="2"/>
        <v>CA</v>
      </c>
      <c r="C30" s="21">
        <f t="shared" si="3"/>
        <v>46125</v>
      </c>
      <c r="D30" s="18" t="s">
        <v>82</v>
      </c>
      <c r="E30" s="18" t="str">
        <f t="shared" si="0"/>
        <v>Toaster</v>
      </c>
      <c r="F30" s="18" t="s">
        <v>83</v>
      </c>
      <c r="G30" s="18" t="s">
        <v>84</v>
      </c>
      <c r="H30" s="20">
        <v>40</v>
      </c>
      <c r="I30" s="18">
        <v>10</v>
      </c>
      <c r="J30" s="18" t="s">
        <v>17</v>
      </c>
      <c r="K30" s="18" t="str">
        <f t="shared" si="4"/>
        <v>Hamilton Toaster</v>
      </c>
      <c r="L30" s="18"/>
      <c r="M30" s="18"/>
      <c r="N30" s="18"/>
    </row>
    <row r="31" spans="1:14" ht="18" x14ac:dyDescent="0.2">
      <c r="A31" s="18" t="str">
        <f t="shared" si="1"/>
        <v>24-MAY</v>
      </c>
      <c r="B31" s="18" t="str">
        <f t="shared" si="2"/>
        <v>CA</v>
      </c>
      <c r="C31" s="21">
        <f t="shared" si="3"/>
        <v>46166</v>
      </c>
      <c r="D31" s="18" t="s">
        <v>85</v>
      </c>
      <c r="E31" s="18" t="str">
        <f t="shared" si="0"/>
        <v>Fitness Tracker</v>
      </c>
      <c r="F31" s="18" t="s">
        <v>71</v>
      </c>
      <c r="G31" s="18" t="s">
        <v>86</v>
      </c>
      <c r="H31" s="20">
        <v>130</v>
      </c>
      <c r="I31" s="18">
        <v>5</v>
      </c>
      <c r="J31" s="18" t="s">
        <v>9</v>
      </c>
      <c r="K31" s="18" t="str">
        <f t="shared" si="4"/>
        <v>Garmin Fitness Tracker</v>
      </c>
      <c r="L31" s="18"/>
      <c r="M31" s="18"/>
      <c r="N31" s="18"/>
    </row>
    <row r="32" spans="1:14" ht="18" x14ac:dyDescent="0.2">
      <c r="A32" s="18" t="str">
        <f t="shared" si="1"/>
        <v>02-DEC</v>
      </c>
      <c r="B32" s="18" t="str">
        <f t="shared" si="2"/>
        <v>CA</v>
      </c>
      <c r="C32" s="21">
        <f t="shared" si="3"/>
        <v>46358</v>
      </c>
      <c r="D32" s="18" t="s">
        <v>87</v>
      </c>
      <c r="E32" s="18" t="str">
        <f t="shared" si="0"/>
        <v>Jeans</v>
      </c>
      <c r="F32" s="18" t="s">
        <v>88</v>
      </c>
      <c r="G32" s="18" t="s">
        <v>89</v>
      </c>
      <c r="H32" s="20">
        <v>50</v>
      </c>
      <c r="I32" s="18">
        <v>50</v>
      </c>
      <c r="J32" s="18" t="s">
        <v>13</v>
      </c>
      <c r="K32" s="18" t="str">
        <f t="shared" si="4"/>
        <v>Levi's Jeans</v>
      </c>
      <c r="L32" s="18"/>
      <c r="M32" s="18"/>
      <c r="N32" s="18"/>
    </row>
    <row r="33" spans="1:14" ht="18" x14ac:dyDescent="0.2">
      <c r="A33" s="18" t="str">
        <f t="shared" si="1"/>
        <v>09-JUL</v>
      </c>
      <c r="B33" s="18" t="str">
        <f t="shared" si="2"/>
        <v>FR</v>
      </c>
      <c r="C33" s="21">
        <f t="shared" si="3"/>
        <v>46212</v>
      </c>
      <c r="D33" s="18" t="s">
        <v>90</v>
      </c>
      <c r="E33" s="18" t="str">
        <f t="shared" si="0"/>
        <v>Watch</v>
      </c>
      <c r="F33" s="18" t="s">
        <v>91</v>
      </c>
      <c r="G33" s="18" t="s">
        <v>92</v>
      </c>
      <c r="H33" s="20">
        <v>100</v>
      </c>
      <c r="I33" s="18">
        <v>20</v>
      </c>
      <c r="J33" s="18" t="s">
        <v>53</v>
      </c>
      <c r="K33" s="18" t="str">
        <f t="shared" si="4"/>
        <v>Casio Watch</v>
      </c>
      <c r="L33" s="18"/>
      <c r="M33" s="18"/>
      <c r="N33" s="18"/>
    </row>
  </sheetData>
  <conditionalFormatting sqref="H3:H3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3:J33">
    <cfRule type="containsText" dxfId="0" priority="1" operator="containsText" text="Electronics">
      <formula>NOT(ISERROR(SEARCH("Electronics",J3)))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ASSIGNEMENT-1</vt:lpstr>
      <vt:lpstr> ASSIGENMENT-2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syamvijaykumar ravuri</dc:creator>
  <cp:lastModifiedBy>mahimasherleyravuri@gmail.com</cp:lastModifiedBy>
  <dcterms:created xsi:type="dcterms:W3CDTF">2026-09-14T12:28:36Z</dcterms:created>
  <dcterms:modified xsi:type="dcterms:W3CDTF">2026-09-15T11:10:03Z</dcterms:modified>
</cp:coreProperties>
</file>